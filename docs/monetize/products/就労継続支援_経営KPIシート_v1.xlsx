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ダッシュボード" sheetId="2" state="visible" r:id="rId2"/>
    <sheet name="設定" sheetId="3" state="visible" r:id="rId3"/>
    <sheet name="月次入力" sheetId="4" state="visible" r:id="rId4"/>
    <sheet name="自動計算" sheetId="5" state="visible" r:id="rId5"/>
    <sheet name="期限管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[Red]-#,##0"/>
    <numFmt numFmtId="166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7F7F7F"/>
      <sz val="10"/>
    </font>
    <font>
      <name val="Arial"/>
      <b val="1"/>
      <color rgb="00FFFFFF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5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4" fontId="9" fillId="0" borderId="1" pivotButton="0" quotePrefix="0" xfId="0"/>
    <xf numFmtId="0" fontId="9" fillId="0" borderId="1" pivotButton="0" quotePrefix="0" xfId="0"/>
    <xf numFmtId="165" fontId="5" fillId="0" borderId="1" pivotButton="0" quotePrefix="0" xfId="0"/>
    <xf numFmtId="165" fontId="9" fillId="0" borderId="1" pivotButton="0" quotePrefix="0" xfId="0"/>
    <xf numFmtId="0" fontId="6" fillId="2" borderId="1" pivotButton="0" quotePrefix="0" xfId="0"/>
    <xf numFmtId="164" fontId="6" fillId="2" borderId="1" pivotButton="0" quotePrefix="0" xfId="0"/>
    <xf numFmtId="3" fontId="6" fillId="2" borderId="1" pivotButton="0" quotePrefix="0" xfId="0"/>
    <xf numFmtId="0" fontId="8" fillId="3" borderId="0" applyAlignment="1" pivotButton="0" quotePrefix="0" xfId="0">
      <alignment horizontal="center"/>
    </xf>
    <xf numFmtId="0" fontId="5" fillId="4" borderId="0" pivotButton="0" quotePrefix="0" xfId="0"/>
    <xf numFmtId="0" fontId="9" fillId="4" borderId="0" pivotButton="0" quotePrefix="0" xfId="0"/>
    <xf numFmtId="0" fontId="2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166" fontId="9" fillId="0" borderId="0" pivotButton="0" quotePrefix="0" xfId="0"/>
    <xf numFmtId="166" fontId="6" fillId="2" borderId="1" pivotButton="0" quotePrefix="0" xfId="0"/>
    <xf numFmtId="3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就労継続支援 経営KPIシート（汎用版 v1.0）</t>
        </is>
      </c>
    </row>
    <row r="2">
      <c r="A2" s="2" t="inlineStr"/>
    </row>
    <row r="3">
      <c r="A3" s="3" t="inlineStr">
        <is>
          <t>■ このシートでできること</t>
        </is>
      </c>
    </row>
    <row r="4">
      <c r="A4" s="2" t="inlineStr">
        <is>
          <t>・毎月の数字を1か所に入れるだけで、利用率・平均工賃・工賃の原資・転換率などを自動で計算します</t>
        </is>
      </c>
    </row>
    <row r="5">
      <c r="A5" s="2" t="inlineStr">
        <is>
          <t>・サービス管理責任者の欠員、資格更新や指定更新の期限切れ、工賃が原資を超えている月などを赤色で知らせます</t>
        </is>
      </c>
    </row>
    <row r="6">
      <c r="A6" s="2" t="inlineStr">
        <is>
          <t>・「ダッシュボード」で対象月を選ぶと、前月との比較が一覧になります（会議・議事録にそのまま使えます）</t>
        </is>
      </c>
    </row>
    <row r="7">
      <c r="A7" s="2" t="inlineStr"/>
    </row>
    <row r="8">
      <c r="A8" s="3" t="inlineStr">
        <is>
          <t>■ 使い方（3ステップ）</t>
        </is>
      </c>
    </row>
    <row r="9">
      <c r="A9" s="2" t="inlineStr">
        <is>
          <t>① 「設定」シートの黄色いセルに、事業所名・定員・目標値を入れる（最初の1回だけ）</t>
        </is>
      </c>
    </row>
    <row r="10">
      <c r="A10" s="2" t="inlineStr">
        <is>
          <t>② 毎月、「月次入力」シートの黄色いセルに数字を入れる。空欄にせず、なければ 0 を入れる</t>
        </is>
      </c>
    </row>
    <row r="11">
      <c r="A11" s="2" t="inlineStr">
        <is>
          <t>③ 「ダッシュボード」で対象月を選び、赤色の項目から対策を考える。期限は「期限管理」シートで管理する</t>
        </is>
      </c>
    </row>
    <row r="12">
      <c r="A12" s="2" t="inlineStr"/>
    </row>
    <row r="13">
      <c r="A13" s="3" t="inlineStr">
        <is>
          <t>■ セルの色の意味</t>
        </is>
      </c>
    </row>
    <row r="14">
      <c r="A14" s="2" t="inlineStr">
        <is>
          <t>黄色の背景＝入力するセル　／　青い文字＝入力値　／　黒い文字＝自動計算（触らない）　／　赤い背景＝要注意</t>
        </is>
      </c>
    </row>
    <row r="15">
      <c r="A15" s="2" t="inlineStr"/>
    </row>
    <row r="16">
      <c r="A16" s="3" t="inlineStr">
        <is>
          <t>■ 計算方法について</t>
        </is>
      </c>
    </row>
    <row r="17">
      <c r="A17" s="2" t="inlineStr">
        <is>
          <t>・利用率＝延べ利用日数 ÷（定員 × 開所日数）</t>
        </is>
      </c>
    </row>
    <row r="18">
      <c r="A18" s="2" t="inlineStr">
        <is>
          <t>・平均工賃月額（目安）＝工賃総額 ÷（延べ利用者数 ÷ 開所日数）。令和6年度報酬改定で導入された「平均利用者数」を用いる算定方式に沿った月次の目安です</t>
        </is>
      </c>
    </row>
    <row r="19">
      <c r="A19" s="2" t="inlineStr">
        <is>
          <t>・報酬算定に使う正式な平均工賃月額は、年度単位で指定権者（都道府県・市）の様式に従って算定してください</t>
        </is>
      </c>
    </row>
    <row r="20">
      <c r="A20" s="2" t="inlineStr">
        <is>
          <t>・工賃の原資チェック＝工賃総額が「生産活動収入 − 生産活動に要した経費」を超えていないか。超える場合は、訓練等給付費から工賃を補填している可能性があり、運営指導で指摘されやすい項目です</t>
        </is>
      </c>
    </row>
    <row r="21">
      <c r="A21" s="2" t="inlineStr"/>
    </row>
    <row r="22">
      <c r="A22" s="3" t="inlineStr">
        <is>
          <t>■ ご注意</t>
        </is>
      </c>
    </row>
    <row r="23">
      <c r="A23" s="2" t="inlineStr">
        <is>
          <t>本シートは経営管理のための汎用ツールです。報酬・加算・人員基準の最終判断は、最新の告示・通知と指定権者の解釈に従ってください。</t>
        </is>
      </c>
    </row>
    <row r="24">
      <c r="A24" s="2" t="inlineStr">
        <is>
          <t>「月次入力」の2か月目までに、見本の数値が入っています。お使いになる前に、見本の数値を消すか、上書きしてください。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4" t="inlineStr">
        <is>
          <t>ダッシュボード（対象月を選ぶと前月と比較します）</t>
        </is>
      </c>
      <c r="B1" s="5" t="n"/>
      <c r="C1" s="5" t="n"/>
      <c r="D1" s="5" t="n"/>
      <c r="E1" s="5" t="n"/>
      <c r="F1" s="5" t="n"/>
    </row>
    <row r="2">
      <c r="A2" s="5" t="n"/>
      <c r="B2" s="5" t="n"/>
      <c r="C2" s="5" t="n"/>
      <c r="D2" s="5" t="n"/>
      <c r="E2" s="5" t="n"/>
      <c r="F2" s="5" t="n"/>
    </row>
    <row r="3">
      <c r="A3" s="6" t="inlineStr">
        <is>
          <t>事業所名</t>
        </is>
      </c>
      <c r="B3" s="5">
        <f>設定!B3</f>
        <v/>
      </c>
      <c r="C3" s="5" t="n"/>
      <c r="D3" s="5" t="n"/>
      <c r="E3" s="5" t="n"/>
      <c r="F3" s="5" t="n"/>
    </row>
    <row r="4">
      <c r="A4" s="6" t="inlineStr">
        <is>
          <t>対象月</t>
        </is>
      </c>
      <c r="B4" s="7" t="inlineStr">
        <is>
          <t>2026-05</t>
        </is>
      </c>
      <c r="C4" s="8" t="inlineStr">
        <is>
          <t>← 黄色のセルで月を選ぶ</t>
        </is>
      </c>
      <c r="D4" s="5" t="n"/>
      <c r="E4" s="5" t="n"/>
      <c r="F4" s="5" t="n"/>
    </row>
    <row r="5">
      <c r="A5" s="8" t="inlineStr">
        <is>
          <t>列番号（自動）</t>
        </is>
      </c>
      <c r="B5" s="8">
        <f>MATCH(B4,月次入力!$C$3:$N$3,0)</f>
        <v/>
      </c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9" t="inlineStr">
        <is>
          <t>指標</t>
        </is>
      </c>
      <c r="B7" s="9" t="inlineStr">
        <is>
          <t>単位</t>
        </is>
      </c>
      <c r="C7" s="9" t="inlineStr">
        <is>
          <t>前月</t>
        </is>
      </c>
      <c r="D7" s="9" t="inlineStr">
        <is>
          <t>当月</t>
        </is>
      </c>
      <c r="E7" s="9" t="inlineStr">
        <is>
          <t>増減</t>
        </is>
      </c>
      <c r="F7" s="9" t="inlineStr">
        <is>
          <t>判定</t>
        </is>
      </c>
    </row>
    <row r="8">
      <c r="A8" s="10" t="inlineStr">
        <is>
          <t>利用率</t>
        </is>
      </c>
      <c r="B8" s="11" t="inlineStr">
        <is>
          <t>%</t>
        </is>
      </c>
      <c r="C8" s="12">
        <f>IF($B$5&lt;=1,"",INDEX(自動計算!$C$4:$N$4,1,$B$5-1))</f>
        <v/>
      </c>
      <c r="D8" s="12">
        <f>INDEX(自動計算!$C$4:$N$4,1,$B$5)</f>
        <v/>
      </c>
      <c r="E8" s="13">
        <f>IFERROR(D8-C8,"")</f>
        <v/>
      </c>
      <c r="F8" s="14">
        <f>IF(D8="","",IF(D8&lt;設定!$B$7,"目標未達","OK"))</f>
        <v/>
      </c>
    </row>
    <row r="9">
      <c r="A9" s="10" t="inlineStr">
        <is>
          <t>平均工賃月額（目安）</t>
        </is>
      </c>
      <c r="B9" s="11" t="inlineStr">
        <is>
          <t>円</t>
        </is>
      </c>
      <c r="C9" s="15">
        <f>IF($B$5&lt;=1,"",INDEX(自動計算!$C$5:$N$5,1,$B$5-1))</f>
        <v/>
      </c>
      <c r="D9" s="15">
        <f>INDEX(自動計算!$C$5:$N$5,1,$B$5)</f>
        <v/>
      </c>
      <c r="E9" s="16">
        <f>IFERROR(D9-C9,"")</f>
        <v/>
      </c>
      <c r="F9" s="14">
        <f>IF(D9="","",IF(D9&lt;設定!$B$8,"目標未達","OK"))</f>
        <v/>
      </c>
    </row>
    <row r="10">
      <c r="A10" s="10" t="inlineStr">
        <is>
          <t>工賃の時給換算</t>
        </is>
      </c>
      <c r="B10" s="11" t="inlineStr">
        <is>
          <t>円</t>
        </is>
      </c>
      <c r="C10" s="15">
        <f>IF($B$5&lt;=1,"",INDEX(自動計算!$C$6:$N$6,1,$B$5-1))</f>
        <v/>
      </c>
      <c r="D10" s="15">
        <f>INDEX(自動計算!$C$6:$N$6,1,$B$5)</f>
        <v/>
      </c>
      <c r="E10" s="16">
        <f>IFERROR(D10-C10,"")</f>
        <v/>
      </c>
      <c r="F10" s="14" t="inlineStr"/>
    </row>
    <row r="11">
      <c r="A11" s="10" t="inlineStr">
        <is>
          <t>原資に対する工賃の割合</t>
        </is>
      </c>
      <c r="B11" s="11" t="inlineStr">
        <is>
          <t>%</t>
        </is>
      </c>
      <c r="C11" s="12">
        <f>IF($B$5&lt;=1,"",INDEX(自動計算!$C$8:$N$8,1,$B$5-1))</f>
        <v/>
      </c>
      <c r="D11" s="12">
        <f>INDEX(自動計算!$C$8:$N$8,1,$B$5)</f>
        <v/>
      </c>
      <c r="E11" s="13">
        <f>IFERROR(D11-C11,"")</f>
        <v/>
      </c>
      <c r="F11" s="14">
        <f>IF(D11="","",IF(D11&gt;1,"要確認：原資超過","OK"))</f>
        <v/>
      </c>
    </row>
    <row r="12">
      <c r="A12" s="10" t="inlineStr">
        <is>
          <t>サービス管理責任者の欠員</t>
        </is>
      </c>
      <c r="B12" s="11" t="inlineStr">
        <is>
          <t>人</t>
        </is>
      </c>
      <c r="C12" s="15">
        <f>IF($B$5&lt;=1,"",INDEX(自動計算!$C$9:$N$9,1,$B$5-1))</f>
        <v/>
      </c>
      <c r="D12" s="15">
        <f>INDEX(自動計算!$C$9:$N$9,1,$B$5)</f>
        <v/>
      </c>
      <c r="E12" s="16">
        <f>IFERROR(D12-C12,"")</f>
        <v/>
      </c>
      <c r="F12" s="14">
        <f>IF(D12&gt;0,"要対応：欠員","OK")</f>
        <v/>
      </c>
    </row>
    <row r="13">
      <c r="A13" s="10" t="inlineStr">
        <is>
          <t>在籍利用者数（月末）</t>
        </is>
      </c>
      <c r="B13" s="11" t="inlineStr">
        <is>
          <t>人</t>
        </is>
      </c>
      <c r="C13" s="15">
        <f>IF($B$5&lt;=1,"",INDEX(月次入力!$C$6:$N$6,1,$B$5-1))</f>
        <v/>
      </c>
      <c r="D13" s="15">
        <f>INDEX(月次入力!$C$6:$N$6,1,$B$5)</f>
        <v/>
      </c>
      <c r="E13" s="16">
        <f>IFERROR(D13-C13,"")</f>
        <v/>
      </c>
      <c r="F13" s="14" t="inlineStr"/>
    </row>
    <row r="14">
      <c r="A14" s="10" t="inlineStr">
        <is>
          <t>利用者の純増</t>
        </is>
      </c>
      <c r="B14" s="11" t="inlineStr">
        <is>
          <t>人</t>
        </is>
      </c>
      <c r="C14" s="15">
        <f>IF($B$5&lt;=1,"",INDEX(自動計算!$C$10:$N$10,1,$B$5-1))</f>
        <v/>
      </c>
      <c r="D14" s="15">
        <f>INDEX(自動計算!$C$10:$N$10,1,$B$5)</f>
        <v/>
      </c>
      <c r="E14" s="16">
        <f>IFERROR(D14-C14,"")</f>
        <v/>
      </c>
      <c r="F14" s="14" t="inlineStr"/>
    </row>
    <row r="15">
      <c r="A15" s="10" t="inlineStr">
        <is>
          <t>問合せ→契約の転換率</t>
        </is>
      </c>
      <c r="B15" s="11" t="inlineStr">
        <is>
          <t>%</t>
        </is>
      </c>
      <c r="C15" s="12">
        <f>IF($B$5&lt;=1,"",INDEX(自動計算!$C$11:$N$11,1,$B$5-1))</f>
        <v/>
      </c>
      <c r="D15" s="12">
        <f>INDEX(自動計算!$C$11:$N$11,1,$B$5)</f>
        <v/>
      </c>
      <c r="E15" s="13">
        <f>IFERROR(D15-C15,"")</f>
        <v/>
      </c>
      <c r="F15" s="14" t="inlineStr"/>
    </row>
    <row r="16">
      <c r="A16" s="10" t="inlineStr">
        <is>
          <t>当月の就職者</t>
        </is>
      </c>
      <c r="B16" s="11" t="inlineStr">
        <is>
          <t>人</t>
        </is>
      </c>
      <c r="C16" s="15">
        <f>IF($B$5&lt;=1,"",INDEX(月次入力!$C$22:$N$22,1,$B$5-1))</f>
        <v/>
      </c>
      <c r="D16" s="15">
        <f>INDEX(月次入力!$C$22:$N$22,1,$B$5)</f>
        <v/>
      </c>
      <c r="E16" s="16">
        <f>IFERROR(D16-C16,"")</f>
        <v/>
      </c>
      <c r="F16" s="14" t="inlineStr"/>
    </row>
    <row r="17">
      <c r="A17" s="10" t="inlineStr">
        <is>
          <t>就職後の離職</t>
        </is>
      </c>
      <c r="B17" s="11" t="inlineStr">
        <is>
          <t>人</t>
        </is>
      </c>
      <c r="C17" s="15">
        <f>IF($B$5&lt;=1,"",INDEX(月次入力!$C$24:$N$24,1,$B$5-1))</f>
        <v/>
      </c>
      <c r="D17" s="15">
        <f>INDEX(月次入力!$C$24:$N$24,1,$B$5)</f>
        <v/>
      </c>
      <c r="E17" s="16">
        <f>IFERROR(D17-C17,"")</f>
        <v/>
      </c>
      <c r="F17" s="14">
        <f>IF(D17&gt;0,"要確認","OK")</f>
        <v/>
      </c>
    </row>
    <row r="18">
      <c r="A18" s="10" t="inlineStr">
        <is>
          <t>売上合計</t>
        </is>
      </c>
      <c r="B18" s="11" t="inlineStr">
        <is>
          <t>円</t>
        </is>
      </c>
      <c r="C18" s="15">
        <f>IF($B$5&lt;=1,"",INDEX(自動計算!$C$12:$N$12,1,$B$5-1))</f>
        <v/>
      </c>
      <c r="D18" s="15">
        <f>INDEX(自動計算!$C$12:$N$12,1,$B$5)</f>
        <v/>
      </c>
      <c r="E18" s="16">
        <f>IFERROR(D18-C18,"")</f>
        <v/>
      </c>
      <c r="F18" s="14" t="inlineStr"/>
    </row>
    <row r="19">
      <c r="A19" s="10" t="inlineStr">
        <is>
          <t>未収金</t>
        </is>
      </c>
      <c r="B19" s="11" t="inlineStr">
        <is>
          <t>円</t>
        </is>
      </c>
      <c r="C19" s="15">
        <f>IF($B$5&lt;=1,"",INDEX(月次入力!$C$33:$N$33,1,$B$5-1))</f>
        <v/>
      </c>
      <c r="D19" s="15">
        <f>INDEX(月次入力!$C$33:$N$33,1,$B$5)</f>
        <v/>
      </c>
      <c r="E19" s="16">
        <f>IFERROR(D19-C19,"")</f>
        <v/>
      </c>
      <c r="F19" s="14">
        <f>IF(D19&gt;0,"要確認","OK")</f>
        <v/>
      </c>
    </row>
    <row r="20">
      <c r="A20" s="10" t="inlineStr">
        <is>
          <t>返戻・過誤調整</t>
        </is>
      </c>
      <c r="B20" s="11" t="inlineStr">
        <is>
          <t>円</t>
        </is>
      </c>
      <c r="C20" s="15">
        <f>IF($B$5&lt;=1,"",INDEX(月次入力!$C$34:$N$34,1,$B$5-1))</f>
        <v/>
      </c>
      <c r="D20" s="15">
        <f>INDEX(月次入力!$C$34:$N$34,1,$B$5)</f>
        <v/>
      </c>
      <c r="E20" s="16">
        <f>IFERROR(D20-C20,"")</f>
        <v/>
      </c>
      <c r="F20" s="14">
        <f>IF(D20&lt;&gt;0,"要確認","OK")</f>
        <v/>
      </c>
    </row>
    <row r="21">
      <c r="A21" s="5" t="n"/>
      <c r="B21" s="5" t="n"/>
      <c r="C21" s="5" t="n"/>
      <c r="D21" s="5" t="n"/>
      <c r="E21" s="5" t="n"/>
      <c r="F21" s="5" t="n"/>
    </row>
    <row r="22">
      <c r="A22" s="6" t="inlineStr">
        <is>
          <t>次の期限（「期限管理」シートから）</t>
        </is>
      </c>
      <c r="B22" s="5" t="n"/>
      <c r="C22" s="5" t="n"/>
      <c r="D22" s="5" t="n"/>
      <c r="E22" s="5" t="n"/>
      <c r="F22" s="5" t="n"/>
    </row>
    <row r="23">
      <c r="A23" s="5" t="inlineStr">
        <is>
          <t>期限が近いもの・過ぎたもの（件）</t>
        </is>
      </c>
      <c r="B23" s="5" t="n"/>
      <c r="C23" s="5" t="n"/>
      <c r="D23" s="5">
        <f>COUNTIF(期限管理!$F$4:$F$23,"期限切れ")+COUNTIF(期限管理!$F$4:$F$23,"まもなく")</f>
        <v/>
      </c>
      <c r="E23" s="5" t="n"/>
      <c r="F23" s="5" t="n"/>
    </row>
  </sheetData>
  <conditionalFormatting sqref="F8:F20">
    <cfRule type="expression" priority="1" dxfId="0">
      <formula>AND(F8&lt;&gt;"",F8&lt;&gt;"OK")</formula>
    </cfRule>
    <cfRule type="expression" priority="2" dxfId="1">
      <formula>F8="OK"</formula>
    </cfRule>
  </conditionalFormatting>
  <conditionalFormatting sqref="D23">
    <cfRule type="expression" priority="3" dxfId="0">
      <formula>D23&gt;0</formula>
    </cfRule>
  </conditionalFormatting>
  <dataValidations count="1">
    <dataValidation sqref="B4" showDropDown="0" showInputMessage="0" showErrorMessage="0" allowBlank="0" type="list">
      <formula1>=月次入力!$C$3:$N$3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4" t="inlineStr">
        <is>
          <t>設定（最初に1回だけ入力）</t>
        </is>
      </c>
      <c r="B1" s="5" t="n"/>
    </row>
    <row r="2">
      <c r="A2" s="5" t="n"/>
      <c r="B2" s="5" t="n"/>
    </row>
    <row r="3">
      <c r="A3" s="6" t="inlineStr">
        <is>
          <t>事業所名</t>
        </is>
      </c>
      <c r="B3" s="17" t="inlineStr">
        <is>
          <t>○○作業所（見本）</t>
        </is>
      </c>
    </row>
    <row r="4">
      <c r="A4" s="6" t="inlineStr">
        <is>
          <t>サービス種別</t>
        </is>
      </c>
      <c r="B4" s="17" t="inlineStr">
        <is>
          <t>就労継続支援B型</t>
        </is>
      </c>
    </row>
    <row r="5">
      <c r="A5" s="6" t="inlineStr">
        <is>
          <t>定員（人）</t>
        </is>
      </c>
      <c r="B5" s="17" t="n">
        <v>20</v>
      </c>
    </row>
    <row r="6">
      <c r="A6" s="6" t="inlineStr">
        <is>
          <t>年度の最初の月</t>
        </is>
      </c>
      <c r="B6" s="17" t="inlineStr">
        <is>
          <t>2026-04</t>
        </is>
      </c>
    </row>
    <row r="7">
      <c r="A7" s="6" t="inlineStr">
        <is>
          <t>目標：利用率</t>
        </is>
      </c>
      <c r="B7" s="18" t="n">
        <v>0.85</v>
      </c>
    </row>
    <row r="8">
      <c r="A8" s="6" t="inlineStr">
        <is>
          <t>目標：平均工賃月額（円）</t>
        </is>
      </c>
      <c r="B8" s="19" t="n">
        <v>25000</v>
      </c>
    </row>
    <row r="9">
      <c r="A9" s="6" t="inlineStr">
        <is>
          <t>期限アラート：何日前から赤くするか</t>
        </is>
      </c>
      <c r="B9" s="17" t="n">
        <v>90</v>
      </c>
    </row>
    <row r="10">
      <c r="A10" s="5" t="n"/>
      <c r="B10" s="5" t="n"/>
    </row>
    <row r="11">
      <c r="A11" s="8" t="inlineStr">
        <is>
          <t>※ 見本の値が入っています。自分の事業所の値に書き換えてください。目標値は経営判断で決めてください。</t>
        </is>
      </c>
      <c r="B11" s="5" t="n"/>
    </row>
  </sheetData>
  <dataValidations count="1">
    <dataValidation sqref="B4" showDropDown="0" showInputMessage="0" showErrorMessage="0" allowBlank="0" type="list">
      <formula1>"就労継続支援A型,就労継続支援B型,就労移行支援,生活介護"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月次入力（黄色のセルに入力。空欄にせず、なければ 0）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9" t="inlineStr">
        <is>
          <t>項目</t>
        </is>
      </c>
      <c r="B3" s="9" t="inlineStr">
        <is>
          <t>単位</t>
        </is>
      </c>
      <c r="C3" s="20" t="inlineStr">
        <is>
          <t>2026-04</t>
        </is>
      </c>
      <c r="D3" s="20" t="inlineStr">
        <is>
          <t>2026-05</t>
        </is>
      </c>
      <c r="E3" s="20" t="inlineStr">
        <is>
          <t>2026-06</t>
        </is>
      </c>
      <c r="F3" s="20" t="inlineStr">
        <is>
          <t>2026-07</t>
        </is>
      </c>
      <c r="G3" s="20" t="inlineStr">
        <is>
          <t>2026-08</t>
        </is>
      </c>
      <c r="H3" s="20" t="inlineStr">
        <is>
          <t>2026-09</t>
        </is>
      </c>
      <c r="I3" s="20" t="inlineStr">
        <is>
          <t>2026-10</t>
        </is>
      </c>
      <c r="J3" s="20" t="inlineStr">
        <is>
          <t>2026-11</t>
        </is>
      </c>
      <c r="K3" s="20" t="inlineStr">
        <is>
          <t>2026-12</t>
        </is>
      </c>
      <c r="L3" s="20" t="inlineStr">
        <is>
          <t>2027-01</t>
        </is>
      </c>
      <c r="M3" s="20" t="inlineStr">
        <is>
          <t>2027-02</t>
        </is>
      </c>
      <c r="N3" s="20" t="inlineStr">
        <is>
          <t>2027-03</t>
        </is>
      </c>
    </row>
    <row r="4">
      <c r="A4" s="21" t="inlineStr">
        <is>
          <t>１　利用者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>
      <c r="A5" s="23" t="inlineStr">
        <is>
          <t>開所日数</t>
        </is>
      </c>
      <c r="B5" s="8" t="inlineStr">
        <is>
          <t>日</t>
        </is>
      </c>
      <c r="C5" s="19" t="n">
        <v>21</v>
      </c>
      <c r="D5" s="19" t="n">
        <v>20</v>
      </c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</row>
    <row r="6">
      <c r="A6" s="23" t="inlineStr">
        <is>
          <t>在籍利用者数（月末）</t>
        </is>
      </c>
      <c r="B6" s="8" t="inlineStr">
        <is>
          <t>人</t>
        </is>
      </c>
      <c r="C6" s="19" t="n">
        <v>22</v>
      </c>
      <c r="D6" s="19" t="n">
        <v>23</v>
      </c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</row>
    <row r="7">
      <c r="A7" s="23" t="inlineStr">
        <is>
          <t>延べ利用者数（＝延べ利用日数）</t>
        </is>
      </c>
      <c r="B7" s="8" t="inlineStr">
        <is>
          <t>人日</t>
        </is>
      </c>
      <c r="C7" s="19" t="n">
        <v>352</v>
      </c>
      <c r="D7" s="19" t="n">
        <v>356</v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</row>
    <row r="8">
      <c r="A8" s="23" t="inlineStr">
        <is>
          <t>新規契約</t>
        </is>
      </c>
      <c r="B8" s="8" t="inlineStr">
        <is>
          <t>人</t>
        </is>
      </c>
      <c r="C8" s="19" t="n">
        <v>1</v>
      </c>
      <c r="D8" s="19" t="n">
        <v>1</v>
      </c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>
      <c r="A9" s="23" t="inlineStr">
        <is>
          <t>契約終了</t>
        </is>
      </c>
      <c r="B9" s="8" t="inlineStr">
        <is>
          <t>人</t>
        </is>
      </c>
      <c r="C9" s="19" t="n">
        <v>0</v>
      </c>
      <c r="D9" s="19" t="n">
        <v>0</v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>
      <c r="A10" s="21" t="inlineStr">
        <is>
          <t>２　生産活動・工賃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</row>
    <row r="11">
      <c r="A11" s="23" t="inlineStr">
        <is>
          <t>生産活動収入</t>
        </is>
      </c>
      <c r="B11" s="8" t="inlineStr">
        <is>
          <t>円</t>
        </is>
      </c>
      <c r="C11" s="19" t="n">
        <v>820000</v>
      </c>
      <c r="D11" s="19" t="n">
        <v>905000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>
      <c r="A12" s="23" t="inlineStr">
        <is>
          <t>生産活動に要した経費</t>
        </is>
      </c>
      <c r="B12" s="8" t="inlineStr">
        <is>
          <t>円</t>
        </is>
      </c>
      <c r="C12" s="19" t="n">
        <v>260000</v>
      </c>
      <c r="D12" s="19" t="n">
        <v>280000</v>
      </c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>
      <c r="A13" s="23" t="inlineStr">
        <is>
          <t>工賃総額（実際の支払額）</t>
        </is>
      </c>
      <c r="B13" s="8" t="inlineStr">
        <is>
          <t>円</t>
        </is>
      </c>
      <c r="C13" s="19" t="n">
        <v>430000</v>
      </c>
      <c r="D13" s="19" t="n">
        <v>560000</v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>
      <c r="A14" s="23" t="inlineStr">
        <is>
          <t>延べ作業時間</t>
        </is>
      </c>
      <c r="B14" s="8" t="inlineStr">
        <is>
          <t>時間</t>
        </is>
      </c>
      <c r="C14" s="19" t="n">
        <v>1580</v>
      </c>
      <c r="D14" s="19" t="n">
        <v>1610</v>
      </c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>
      <c r="A15" s="23" t="inlineStr">
        <is>
          <t>当月の新規受注</t>
        </is>
      </c>
      <c r="B15" s="8" t="inlineStr">
        <is>
          <t>件</t>
        </is>
      </c>
      <c r="C15" s="19" t="n">
        <v>2</v>
      </c>
      <c r="D15" s="19" t="n">
        <v>1</v>
      </c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>
      <c r="A16" s="21" t="inlineStr">
        <is>
          <t>３　人員体制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>
      <c r="A17" s="23" t="inlineStr">
        <is>
          <t>サービス管理責任者：必要数</t>
        </is>
      </c>
      <c r="B17" s="8" t="inlineStr">
        <is>
          <t>人</t>
        </is>
      </c>
      <c r="C17" s="19" t="n">
        <v>1</v>
      </c>
      <c r="D17" s="19" t="n">
        <v>1</v>
      </c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>
      <c r="A18" s="23" t="inlineStr">
        <is>
          <t>サービス管理責任者：配置数</t>
        </is>
      </c>
      <c r="B18" s="8" t="inlineStr">
        <is>
          <t>人</t>
        </is>
      </c>
      <c r="C18" s="19" t="n">
        <v>1</v>
      </c>
      <c r="D18" s="19" t="n">
        <v>0</v>
      </c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</row>
    <row r="19">
      <c r="A19" s="23" t="inlineStr">
        <is>
          <t>職員数（実人数）</t>
        </is>
      </c>
      <c r="B19" s="8" t="inlineStr">
        <is>
          <t>人</t>
        </is>
      </c>
      <c r="C19" s="19" t="n">
        <v>8</v>
      </c>
      <c r="D19" s="19" t="n">
        <v>8</v>
      </c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</row>
    <row r="20">
      <c r="A20" s="23" t="inlineStr">
        <is>
          <t>退職予定</t>
        </is>
      </c>
      <c r="B20" s="8" t="inlineStr">
        <is>
          <t>人</t>
        </is>
      </c>
      <c r="C20" s="19" t="n">
        <v>0</v>
      </c>
      <c r="D20" s="19" t="n">
        <v>1</v>
      </c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</row>
    <row r="21">
      <c r="A21" s="21" t="inlineStr">
        <is>
          <t>４　一般就労への移行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</row>
    <row r="22">
      <c r="A22" s="23" t="inlineStr">
        <is>
          <t>当月の就職者</t>
        </is>
      </c>
      <c r="B22" s="8" t="inlineStr">
        <is>
          <t>人</t>
        </is>
      </c>
      <c r="C22" s="19" t="n">
        <v>0</v>
      </c>
      <c r="D22" s="19" t="n">
        <v>1</v>
      </c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</row>
    <row r="23">
      <c r="A23" s="23" t="inlineStr">
        <is>
          <t>定着支援中</t>
        </is>
      </c>
      <c r="B23" s="8" t="inlineStr">
        <is>
          <t>人</t>
        </is>
      </c>
      <c r="C23" s="19" t="n">
        <v>2</v>
      </c>
      <c r="D23" s="19" t="n">
        <v>3</v>
      </c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</row>
    <row r="24">
      <c r="A24" s="23" t="inlineStr">
        <is>
          <t>就職後の離職</t>
        </is>
      </c>
      <c r="B24" s="8" t="inlineStr">
        <is>
          <t>人</t>
        </is>
      </c>
      <c r="C24" s="19" t="n">
        <v>0</v>
      </c>
      <c r="D24" s="19" t="n">
        <v>0</v>
      </c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</row>
    <row r="25">
      <c r="A25" s="21" t="inlineStr">
        <is>
          <t>５　問合せ・集客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>
      <c r="A26" s="23" t="inlineStr">
        <is>
          <t>問合せ</t>
        </is>
      </c>
      <c r="B26" s="8" t="inlineStr">
        <is>
          <t>件</t>
        </is>
      </c>
      <c r="C26" s="19" t="n">
        <v>6</v>
      </c>
      <c r="D26" s="19" t="n">
        <v>4</v>
      </c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</row>
    <row r="27">
      <c r="A27" s="23" t="inlineStr">
        <is>
          <t>見学</t>
        </is>
      </c>
      <c r="B27" s="8" t="inlineStr">
        <is>
          <t>件</t>
        </is>
      </c>
      <c r="C27" s="19" t="n">
        <v>3</v>
      </c>
      <c r="D27" s="19" t="n">
        <v>2</v>
      </c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</row>
    <row r="28">
      <c r="A28" s="23" t="inlineStr">
        <is>
          <t>体験利用</t>
        </is>
      </c>
      <c r="B28" s="8" t="inlineStr">
        <is>
          <t>件</t>
        </is>
      </c>
      <c r="C28" s="19" t="n">
        <v>2</v>
      </c>
      <c r="D28" s="19" t="n">
        <v>1</v>
      </c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</row>
    <row r="29">
      <c r="A29" s="23" t="inlineStr">
        <is>
          <t>契約に至った数</t>
        </is>
      </c>
      <c r="B29" s="8" t="inlineStr">
        <is>
          <t>件</t>
        </is>
      </c>
      <c r="C29" s="19" t="n">
        <v>1</v>
      </c>
      <c r="D29" s="19" t="n">
        <v>1</v>
      </c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</row>
    <row r="30">
      <c r="A30" s="21" t="inlineStr">
        <is>
          <t>６　財務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</row>
    <row r="31">
      <c r="A31" s="23" t="inlineStr">
        <is>
          <t>売上（訓練等給付費）</t>
        </is>
      </c>
      <c r="B31" s="8" t="inlineStr">
        <is>
          <t>円</t>
        </is>
      </c>
      <c r="C31" s="19" t="n">
        <v>3300000</v>
      </c>
      <c r="D31" s="19" t="n">
        <v>3350000</v>
      </c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</row>
    <row r="32">
      <c r="A32" s="23" t="inlineStr">
        <is>
          <t>売上（自主事業・その他）</t>
        </is>
      </c>
      <c r="B32" s="8" t="inlineStr">
        <is>
          <t>円</t>
        </is>
      </c>
      <c r="C32" s="19" t="n">
        <v>0</v>
      </c>
      <c r="D32" s="19" t="n">
        <v>0</v>
      </c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</row>
    <row r="33">
      <c r="A33" s="23" t="inlineStr">
        <is>
          <t>未収金</t>
        </is>
      </c>
      <c r="B33" s="8" t="inlineStr">
        <is>
          <t>円</t>
        </is>
      </c>
      <c r="C33" s="19" t="n">
        <v>0</v>
      </c>
      <c r="D33" s="19" t="n">
        <v>0</v>
      </c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</row>
    <row r="34">
      <c r="A34" s="23" t="inlineStr">
        <is>
          <t>返戻・過誤調整</t>
        </is>
      </c>
      <c r="B34" s="8" t="inlineStr">
        <is>
          <t>円</t>
        </is>
      </c>
      <c r="C34" s="19" t="n">
        <v>0</v>
      </c>
      <c r="D34" s="19" t="n">
        <v>-12000</v>
      </c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8" t="inlineStr">
        <is>
          <t>※ 2026-04 と 2026-05 の列は見本の数値です。使う前に消すか上書きしてください。年度が違う場合は3行目の月を書き換えてください。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自動計算（触らない。赤＝要注意）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9" t="inlineStr">
        <is>
          <t>指標</t>
        </is>
      </c>
      <c r="B3" s="9" t="inlineStr">
        <is>
          <t>単位</t>
        </is>
      </c>
      <c r="C3" s="9">
        <f>月次入力!C3</f>
        <v/>
      </c>
      <c r="D3" s="9">
        <f>月次入力!D3</f>
        <v/>
      </c>
      <c r="E3" s="9">
        <f>月次入力!E3</f>
        <v/>
      </c>
      <c r="F3" s="9">
        <f>月次入力!F3</f>
        <v/>
      </c>
      <c r="G3" s="9">
        <f>月次入力!G3</f>
        <v/>
      </c>
      <c r="H3" s="9">
        <f>月次入力!H3</f>
        <v/>
      </c>
      <c r="I3" s="9">
        <f>月次入力!I3</f>
        <v/>
      </c>
      <c r="J3" s="9">
        <f>月次入力!J3</f>
        <v/>
      </c>
      <c r="K3" s="9">
        <f>月次入力!K3</f>
        <v/>
      </c>
      <c r="L3" s="9">
        <f>月次入力!L3</f>
        <v/>
      </c>
      <c r="M3" s="9">
        <f>月次入力!M3</f>
        <v/>
      </c>
      <c r="N3" s="9">
        <f>月次入力!N3</f>
        <v/>
      </c>
    </row>
    <row r="4">
      <c r="A4" s="6" t="inlineStr">
        <is>
          <t>利用率</t>
        </is>
      </c>
      <c r="B4" s="8" t="inlineStr">
        <is>
          <t>%</t>
        </is>
      </c>
      <c r="C4" s="24">
        <f>IFERROR(月次入力!C7/(設定!$B$5*月次入力!C5),"")</f>
        <v/>
      </c>
      <c r="D4" s="24">
        <f>IFERROR(月次入力!D7/(設定!$B$5*月次入力!D5),"")</f>
        <v/>
      </c>
      <c r="E4" s="24">
        <f>IFERROR(月次入力!E7/(設定!$B$5*月次入力!E5),"")</f>
        <v/>
      </c>
      <c r="F4" s="24">
        <f>IFERROR(月次入力!F7/(設定!$B$5*月次入力!F5),"")</f>
        <v/>
      </c>
      <c r="G4" s="24">
        <f>IFERROR(月次入力!G7/(設定!$B$5*月次入力!G5),"")</f>
        <v/>
      </c>
      <c r="H4" s="24">
        <f>IFERROR(月次入力!H7/(設定!$B$5*月次入力!H5),"")</f>
        <v/>
      </c>
      <c r="I4" s="24">
        <f>IFERROR(月次入力!I7/(設定!$B$5*月次入力!I5),"")</f>
        <v/>
      </c>
      <c r="J4" s="24">
        <f>IFERROR(月次入力!J7/(設定!$B$5*月次入力!J5),"")</f>
        <v/>
      </c>
      <c r="K4" s="24">
        <f>IFERROR(月次入力!K7/(設定!$B$5*月次入力!K5),"")</f>
        <v/>
      </c>
      <c r="L4" s="24">
        <f>IFERROR(月次入力!L7/(設定!$B$5*月次入力!L5),"")</f>
        <v/>
      </c>
      <c r="M4" s="24">
        <f>IFERROR(月次入力!M7/(設定!$B$5*月次入力!M5),"")</f>
        <v/>
      </c>
      <c r="N4" s="24">
        <f>IFERROR(月次入力!N7/(設定!$B$5*月次入力!N5),"")</f>
        <v/>
      </c>
    </row>
    <row r="5">
      <c r="A5" s="6" t="inlineStr">
        <is>
          <t>平均工賃月額（目安）</t>
        </is>
      </c>
      <c r="B5" s="8" t="inlineStr">
        <is>
          <t>円</t>
        </is>
      </c>
      <c r="C5" s="25">
        <f>IFERROR(月次入力!C13/(月次入力!C7/月次入力!C5),"")</f>
        <v/>
      </c>
      <c r="D5" s="25">
        <f>IFERROR(月次入力!D13/(月次入力!D7/月次入力!D5),"")</f>
        <v/>
      </c>
      <c r="E5" s="25">
        <f>IFERROR(月次入力!E13/(月次入力!E7/月次入力!E5),"")</f>
        <v/>
      </c>
      <c r="F5" s="25">
        <f>IFERROR(月次入力!F13/(月次入力!F7/月次入力!F5),"")</f>
        <v/>
      </c>
      <c r="G5" s="25">
        <f>IFERROR(月次入力!G13/(月次入力!G7/月次入力!G5),"")</f>
        <v/>
      </c>
      <c r="H5" s="25">
        <f>IFERROR(月次入力!H13/(月次入力!H7/月次入力!H5),"")</f>
        <v/>
      </c>
      <c r="I5" s="25">
        <f>IFERROR(月次入力!I13/(月次入力!I7/月次入力!I5),"")</f>
        <v/>
      </c>
      <c r="J5" s="25">
        <f>IFERROR(月次入力!J13/(月次入力!J7/月次入力!J5),"")</f>
        <v/>
      </c>
      <c r="K5" s="25">
        <f>IFERROR(月次入力!K13/(月次入力!K7/月次入力!K5),"")</f>
        <v/>
      </c>
      <c r="L5" s="25">
        <f>IFERROR(月次入力!L13/(月次入力!L7/月次入力!L5),"")</f>
        <v/>
      </c>
      <c r="M5" s="25">
        <f>IFERROR(月次入力!M13/(月次入力!M7/月次入力!M5),"")</f>
        <v/>
      </c>
      <c r="N5" s="25">
        <f>IFERROR(月次入力!N13/(月次入力!N7/月次入力!N5),"")</f>
        <v/>
      </c>
    </row>
    <row r="6">
      <c r="A6" s="6" t="inlineStr">
        <is>
          <t>工賃の時給換算</t>
        </is>
      </c>
      <c r="B6" s="8" t="inlineStr">
        <is>
          <t>円</t>
        </is>
      </c>
      <c r="C6" s="25">
        <f>IFERROR(月次入力!C13/月次入力!C14,"")</f>
        <v/>
      </c>
      <c r="D6" s="25">
        <f>IFERROR(月次入力!D13/月次入力!D14,"")</f>
        <v/>
      </c>
      <c r="E6" s="25">
        <f>IFERROR(月次入力!E13/月次入力!E14,"")</f>
        <v/>
      </c>
      <c r="F6" s="25">
        <f>IFERROR(月次入力!F13/月次入力!F14,"")</f>
        <v/>
      </c>
      <c r="G6" s="25">
        <f>IFERROR(月次入力!G13/月次入力!G14,"")</f>
        <v/>
      </c>
      <c r="H6" s="25">
        <f>IFERROR(月次入力!H13/月次入力!H14,"")</f>
        <v/>
      </c>
      <c r="I6" s="25">
        <f>IFERROR(月次入力!I13/月次入力!I14,"")</f>
        <v/>
      </c>
      <c r="J6" s="25">
        <f>IFERROR(月次入力!J13/月次入力!J14,"")</f>
        <v/>
      </c>
      <c r="K6" s="25">
        <f>IFERROR(月次入力!K13/月次入力!K14,"")</f>
        <v/>
      </c>
      <c r="L6" s="25">
        <f>IFERROR(月次入力!L13/月次入力!L14,"")</f>
        <v/>
      </c>
      <c r="M6" s="25">
        <f>IFERROR(月次入力!M13/月次入力!M14,"")</f>
        <v/>
      </c>
      <c r="N6" s="25">
        <f>IFERROR(月次入力!N13/月次入力!N14,"")</f>
        <v/>
      </c>
    </row>
    <row r="7">
      <c r="A7" s="6" t="inlineStr">
        <is>
          <t>工賃の原資（収入−経費）</t>
        </is>
      </c>
      <c r="B7" s="8" t="inlineStr">
        <is>
          <t>円</t>
        </is>
      </c>
      <c r="C7" s="25">
        <f>月次入力!C11-月次入力!C12</f>
        <v/>
      </c>
      <c r="D7" s="25">
        <f>月次入力!D11-月次入力!D12</f>
        <v/>
      </c>
      <c r="E7" s="25">
        <f>月次入力!E11-月次入力!E12</f>
        <v/>
      </c>
      <c r="F7" s="25">
        <f>月次入力!F11-月次入力!F12</f>
        <v/>
      </c>
      <c r="G7" s="25">
        <f>月次入力!G11-月次入力!G12</f>
        <v/>
      </c>
      <c r="H7" s="25">
        <f>月次入力!H11-月次入力!H12</f>
        <v/>
      </c>
      <c r="I7" s="25">
        <f>月次入力!I11-月次入力!I12</f>
        <v/>
      </c>
      <c r="J7" s="25">
        <f>月次入力!J11-月次入力!J12</f>
        <v/>
      </c>
      <c r="K7" s="25">
        <f>月次入力!K11-月次入力!K12</f>
        <v/>
      </c>
      <c r="L7" s="25">
        <f>月次入力!L11-月次入力!L12</f>
        <v/>
      </c>
      <c r="M7" s="25">
        <f>月次入力!M11-月次入力!M12</f>
        <v/>
      </c>
      <c r="N7" s="25">
        <f>月次入力!N11-月次入力!N12</f>
        <v/>
      </c>
    </row>
    <row r="8">
      <c r="A8" s="6" t="inlineStr">
        <is>
          <t>原資に対する工賃の割合</t>
        </is>
      </c>
      <c r="B8" s="8" t="inlineStr">
        <is>
          <t>%</t>
        </is>
      </c>
      <c r="C8" s="24">
        <f>IFERROR(月次入力!C13/C7,"")</f>
        <v/>
      </c>
      <c r="D8" s="24">
        <f>IFERROR(月次入力!D13/D7,"")</f>
        <v/>
      </c>
      <c r="E8" s="24">
        <f>IFERROR(月次入力!E13/E7,"")</f>
        <v/>
      </c>
      <c r="F8" s="24">
        <f>IFERROR(月次入力!F13/F7,"")</f>
        <v/>
      </c>
      <c r="G8" s="24">
        <f>IFERROR(月次入力!G13/G7,"")</f>
        <v/>
      </c>
      <c r="H8" s="24">
        <f>IFERROR(月次入力!H13/H7,"")</f>
        <v/>
      </c>
      <c r="I8" s="24">
        <f>IFERROR(月次入力!I13/I7,"")</f>
        <v/>
      </c>
      <c r="J8" s="24">
        <f>IFERROR(月次入力!J13/J7,"")</f>
        <v/>
      </c>
      <c r="K8" s="24">
        <f>IFERROR(月次入力!K13/K7,"")</f>
        <v/>
      </c>
      <c r="L8" s="24">
        <f>IFERROR(月次入力!L13/L7,"")</f>
        <v/>
      </c>
      <c r="M8" s="24">
        <f>IFERROR(月次入力!M13/M7,"")</f>
        <v/>
      </c>
      <c r="N8" s="24">
        <f>IFERROR(月次入力!N13/N7,"")</f>
        <v/>
      </c>
    </row>
    <row r="9">
      <c r="A9" s="6" t="inlineStr">
        <is>
          <t>サービス管理責任者の欠員</t>
        </is>
      </c>
      <c r="B9" s="8" t="inlineStr">
        <is>
          <t>人</t>
        </is>
      </c>
      <c r="C9" s="25">
        <f>MAX(0,月次入力!C17-月次入力!C18)</f>
        <v/>
      </c>
      <c r="D9" s="25">
        <f>MAX(0,月次入力!D17-月次入力!D18)</f>
        <v/>
      </c>
      <c r="E9" s="25">
        <f>MAX(0,月次入力!E17-月次入力!E18)</f>
        <v/>
      </c>
      <c r="F9" s="25">
        <f>MAX(0,月次入力!F17-月次入力!F18)</f>
        <v/>
      </c>
      <c r="G9" s="25">
        <f>MAX(0,月次入力!G17-月次入力!G18)</f>
        <v/>
      </c>
      <c r="H9" s="25">
        <f>MAX(0,月次入力!H17-月次入力!H18)</f>
        <v/>
      </c>
      <c r="I9" s="25">
        <f>MAX(0,月次入力!I17-月次入力!I18)</f>
        <v/>
      </c>
      <c r="J9" s="25">
        <f>MAX(0,月次入力!J17-月次入力!J18)</f>
        <v/>
      </c>
      <c r="K9" s="25">
        <f>MAX(0,月次入力!K17-月次入力!K18)</f>
        <v/>
      </c>
      <c r="L9" s="25">
        <f>MAX(0,月次入力!L17-月次入力!L18)</f>
        <v/>
      </c>
      <c r="M9" s="25">
        <f>MAX(0,月次入力!M17-月次入力!M18)</f>
        <v/>
      </c>
      <c r="N9" s="25">
        <f>MAX(0,月次入力!N17-月次入力!N18)</f>
        <v/>
      </c>
    </row>
    <row r="10">
      <c r="A10" s="6" t="inlineStr">
        <is>
          <t>利用者の純増</t>
        </is>
      </c>
      <c r="B10" s="8" t="inlineStr">
        <is>
          <t>人</t>
        </is>
      </c>
      <c r="C10" s="25">
        <f>月次入力!C8-月次入力!C9</f>
        <v/>
      </c>
      <c r="D10" s="25">
        <f>月次入力!D8-月次入力!D9</f>
        <v/>
      </c>
      <c r="E10" s="25">
        <f>月次入力!E8-月次入力!E9</f>
        <v/>
      </c>
      <c r="F10" s="25">
        <f>月次入力!F8-月次入力!F9</f>
        <v/>
      </c>
      <c r="G10" s="25">
        <f>月次入力!G8-月次入力!G9</f>
        <v/>
      </c>
      <c r="H10" s="25">
        <f>月次入力!H8-月次入力!H9</f>
        <v/>
      </c>
      <c r="I10" s="25">
        <f>月次入力!I8-月次入力!I9</f>
        <v/>
      </c>
      <c r="J10" s="25">
        <f>月次入力!J8-月次入力!J9</f>
        <v/>
      </c>
      <c r="K10" s="25">
        <f>月次入力!K8-月次入力!K9</f>
        <v/>
      </c>
      <c r="L10" s="25">
        <f>月次入力!L8-月次入力!L9</f>
        <v/>
      </c>
      <c r="M10" s="25">
        <f>月次入力!M8-月次入力!M9</f>
        <v/>
      </c>
      <c r="N10" s="25">
        <f>月次入力!N8-月次入力!N9</f>
        <v/>
      </c>
    </row>
    <row r="11">
      <c r="A11" s="6" t="inlineStr">
        <is>
          <t>問合せ→契約の転換率</t>
        </is>
      </c>
      <c r="B11" s="8" t="inlineStr">
        <is>
          <t>%</t>
        </is>
      </c>
      <c r="C11" s="24">
        <f>IFERROR(月次入力!C29/月次入力!C26,"")</f>
        <v/>
      </c>
      <c r="D11" s="24">
        <f>IFERROR(月次入力!D29/月次入力!D26,"")</f>
        <v/>
      </c>
      <c r="E11" s="24">
        <f>IFERROR(月次入力!E29/月次入力!E26,"")</f>
        <v/>
      </c>
      <c r="F11" s="24">
        <f>IFERROR(月次入力!F29/月次入力!F26,"")</f>
        <v/>
      </c>
      <c r="G11" s="24">
        <f>IFERROR(月次入力!G29/月次入力!G26,"")</f>
        <v/>
      </c>
      <c r="H11" s="24">
        <f>IFERROR(月次入力!H29/月次入力!H26,"")</f>
        <v/>
      </c>
      <c r="I11" s="24">
        <f>IFERROR(月次入力!I29/月次入力!I26,"")</f>
        <v/>
      </c>
      <c r="J11" s="24">
        <f>IFERROR(月次入力!J29/月次入力!J26,"")</f>
        <v/>
      </c>
      <c r="K11" s="24">
        <f>IFERROR(月次入力!K29/月次入力!K26,"")</f>
        <v/>
      </c>
      <c r="L11" s="24">
        <f>IFERROR(月次入力!L29/月次入力!L26,"")</f>
        <v/>
      </c>
      <c r="M11" s="24">
        <f>IFERROR(月次入力!M29/月次入力!M26,"")</f>
        <v/>
      </c>
      <c r="N11" s="24">
        <f>IFERROR(月次入力!N29/月次入力!N26,"")</f>
        <v/>
      </c>
    </row>
    <row r="12">
      <c r="A12" s="6" t="inlineStr">
        <is>
          <t>売上合計</t>
        </is>
      </c>
      <c r="B12" s="8" t="inlineStr">
        <is>
          <t>円</t>
        </is>
      </c>
      <c r="C12" s="25">
        <f>月次入力!C31+月次入力!C32</f>
        <v/>
      </c>
      <c r="D12" s="25">
        <f>月次入力!D31+月次入力!D32</f>
        <v/>
      </c>
      <c r="E12" s="25">
        <f>月次入力!E31+月次入力!E32</f>
        <v/>
      </c>
      <c r="F12" s="25">
        <f>月次入力!F31+月次入力!F32</f>
        <v/>
      </c>
      <c r="G12" s="25">
        <f>月次入力!G31+月次入力!G32</f>
        <v/>
      </c>
      <c r="H12" s="25">
        <f>月次入力!H31+月次入力!H32</f>
        <v/>
      </c>
      <c r="I12" s="25">
        <f>月次入力!I31+月次入力!I32</f>
        <v/>
      </c>
      <c r="J12" s="25">
        <f>月次入力!J31+月次入力!J32</f>
        <v/>
      </c>
      <c r="K12" s="25">
        <f>月次入力!K31+月次入力!K32</f>
        <v/>
      </c>
      <c r="L12" s="25">
        <f>月次入力!L31+月次入力!L32</f>
        <v/>
      </c>
      <c r="M12" s="25">
        <f>月次入力!M31+月次入力!M32</f>
        <v/>
      </c>
      <c r="N12" s="25">
        <f>月次入力!N31+月次入力!N32</f>
        <v/>
      </c>
    </row>
    <row r="13">
      <c r="A13" s="6" t="inlineStr">
        <is>
          <t>利用率の目標との差</t>
        </is>
      </c>
      <c r="B13" s="8" t="inlineStr">
        <is>
          <t>%</t>
        </is>
      </c>
      <c r="C13" s="24">
        <f>IF(C4="","",C4-設定!$B$7)</f>
        <v/>
      </c>
      <c r="D13" s="24">
        <f>IF(D4="","",D4-設定!$B$7)</f>
        <v/>
      </c>
      <c r="E13" s="24">
        <f>IF(E4="","",E4-設定!$B$7)</f>
        <v/>
      </c>
      <c r="F13" s="24">
        <f>IF(F4="","",F4-設定!$B$7)</f>
        <v/>
      </c>
      <c r="G13" s="24">
        <f>IF(G4="","",G4-設定!$B$7)</f>
        <v/>
      </c>
      <c r="H13" s="24">
        <f>IF(H4="","",H4-設定!$B$7)</f>
        <v/>
      </c>
      <c r="I13" s="24">
        <f>IF(I4="","",I4-設定!$B$7)</f>
        <v/>
      </c>
      <c r="J13" s="24">
        <f>IF(J4="","",J4-設定!$B$7)</f>
        <v/>
      </c>
      <c r="K13" s="24">
        <f>IF(K4="","",K4-設定!$B$7)</f>
        <v/>
      </c>
      <c r="L13" s="24">
        <f>IF(L4="","",L4-設定!$B$7)</f>
        <v/>
      </c>
      <c r="M13" s="24">
        <f>IF(M4="","",M4-設定!$B$7)</f>
        <v/>
      </c>
      <c r="N13" s="24">
        <f>IF(N4="","",N4-設定!$B$7)</f>
        <v/>
      </c>
    </row>
    <row r="14">
      <c r="A14" s="6" t="inlineStr">
        <is>
          <t>平均工賃の目標との差</t>
        </is>
      </c>
      <c r="B14" s="8" t="inlineStr">
        <is>
          <t>円</t>
        </is>
      </c>
      <c r="C14" s="25">
        <f>IF(C5="","",C5-設定!$B$8)</f>
        <v/>
      </c>
      <c r="D14" s="25">
        <f>IF(D5="","",D5-設定!$B$8)</f>
        <v/>
      </c>
      <c r="E14" s="25">
        <f>IF(E5="","",E5-設定!$B$8)</f>
        <v/>
      </c>
      <c r="F14" s="25">
        <f>IF(F5="","",F5-設定!$B$8)</f>
        <v/>
      </c>
      <c r="G14" s="25">
        <f>IF(G5="","",G5-設定!$B$8)</f>
        <v/>
      </c>
      <c r="H14" s="25">
        <f>IF(H5="","",H5-設定!$B$8)</f>
        <v/>
      </c>
      <c r="I14" s="25">
        <f>IF(I5="","",I5-設定!$B$8)</f>
        <v/>
      </c>
      <c r="J14" s="25">
        <f>IF(J5="","",J5-設定!$B$8)</f>
        <v/>
      </c>
      <c r="K14" s="25">
        <f>IF(K5="","",K5-設定!$B$8)</f>
        <v/>
      </c>
      <c r="L14" s="25">
        <f>IF(L5="","",L5-設定!$B$8)</f>
        <v/>
      </c>
      <c r="M14" s="25">
        <f>IF(M5="","",M5-設定!$B$8)</f>
        <v/>
      </c>
      <c r="N14" s="25">
        <f>IF(N5="","",N5-設定!$B$8)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8" t="inlineStr">
        <is>
          <t>※ 原資に対する工賃の割合が100%を超える月は、工賃を訓練等給付費から補填している可能性があります（赤）。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8" t="inlineStr">
        <is>
          <t>※ 平均工賃月額は月次の目安です。報酬算定に使う正式な値は、年度単位で指定権者の様式に従って算定してください。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</sheetData>
  <conditionalFormatting sqref="C8:N8">
    <cfRule type="expression" priority="1" dxfId="0">
      <formula>AND(ISNUMBER(C8),C8&gt;1)</formula>
    </cfRule>
  </conditionalFormatting>
  <conditionalFormatting sqref="C9:N9">
    <cfRule type="expression" priority="2" dxfId="0">
      <formula>C9&gt;0</formula>
    </cfRule>
  </conditionalFormatting>
  <conditionalFormatting sqref="C13:N13">
    <cfRule type="expression" priority="3" dxfId="0">
      <formula>AND(ISNUMBER(C13),C13&lt;0)</formula>
    </cfRule>
  </conditionalFormatting>
  <conditionalFormatting sqref="C14:N14">
    <cfRule type="expression" priority="4" dxfId="0">
      <formula>AND(ISNUMBER(C14),C14&lt;0)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12" customWidth="1" min="4" max="4"/>
    <col width="10" customWidth="1" min="5" max="5"/>
    <col width="12" customWidth="1" min="6" max="6"/>
    <col width="30" customWidth="1" min="7" max="7"/>
  </cols>
  <sheetData>
    <row r="1">
      <c r="A1" s="4" t="inlineStr">
        <is>
          <t>期限管理（黄色に入力。期限が近いと赤くなります）</t>
        </is>
      </c>
      <c r="B1" s="5" t="n"/>
      <c r="C1" s="5" t="n"/>
      <c r="D1" s="5" t="n"/>
      <c r="E1" s="5" t="n"/>
      <c r="F1" s="5" t="n"/>
      <c r="G1" s="5" t="n"/>
      <c r="H1" s="5" t="inlineStr">
        <is>
          <t>今日</t>
        </is>
      </c>
      <c r="I1" s="26">
        <f>TODAY()</f>
        <v/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9" t="inlineStr">
        <is>
          <t>区分</t>
        </is>
      </c>
      <c r="B3" s="9" t="inlineStr">
        <is>
          <t>内容</t>
        </is>
      </c>
      <c r="C3" s="9" t="inlineStr">
        <is>
          <t>期限</t>
        </is>
      </c>
      <c r="D3" s="9" t="inlineStr">
        <is>
          <t>担当</t>
        </is>
      </c>
      <c r="E3" s="9" t="inlineStr">
        <is>
          <t>残り日数</t>
        </is>
      </c>
      <c r="F3" s="9" t="inlineStr">
        <is>
          <t>状態</t>
        </is>
      </c>
      <c r="G3" s="9" t="inlineStr">
        <is>
          <t>メモ</t>
        </is>
      </c>
      <c r="H3" s="5" t="n"/>
      <c r="I3" s="5" t="n"/>
    </row>
    <row r="4">
      <c r="A4" s="17" t="inlineStr">
        <is>
          <t>指定</t>
        </is>
      </c>
      <c r="B4" s="17" t="inlineStr">
        <is>
          <t>事業所の指定更新</t>
        </is>
      </c>
      <c r="C4" s="27" t="n">
        <v>47208</v>
      </c>
      <c r="D4" s="17" t="n"/>
      <c r="E4" s="28">
        <f>IF(C4="","",C4-$I$1)</f>
        <v/>
      </c>
      <c r="F4" s="29">
        <f>IF(C4="","",IF(E4&lt;0,"期限切れ",IF(E4&lt;=設定!$B$9,"まもなく","余裕あり")))</f>
        <v/>
      </c>
      <c r="G4" s="17" t="n"/>
      <c r="H4" s="5" t="n"/>
      <c r="I4" s="5" t="n"/>
    </row>
    <row r="5">
      <c r="A5" s="17" t="inlineStr">
        <is>
          <t>人員</t>
        </is>
      </c>
      <c r="B5" s="17" t="inlineStr">
        <is>
          <t>サービス管理責任者の更新研修（資格の有効期限）</t>
        </is>
      </c>
      <c r="C5" s="27" t="n">
        <v>46477</v>
      </c>
      <c r="D5" s="17" t="n"/>
      <c r="E5" s="28">
        <f>IF(C5="","",C5-$I$1)</f>
        <v/>
      </c>
      <c r="F5" s="29">
        <f>IF(C5="","",IF(E5&lt;0,"期限切れ",IF(E5&lt;=設定!$B$9,"まもなく","余裕あり")))</f>
        <v/>
      </c>
      <c r="G5" s="17" t="n"/>
      <c r="H5" s="5" t="n"/>
      <c r="I5" s="5" t="n"/>
    </row>
    <row r="6">
      <c r="A6" s="17" t="inlineStr">
        <is>
          <t>研修</t>
        </is>
      </c>
      <c r="B6" s="17" t="inlineStr">
        <is>
          <t>サービス管理責任者 実践研修の受講</t>
        </is>
      </c>
      <c r="C6" s="27" t="n">
        <v>46371</v>
      </c>
      <c r="D6" s="17" t="n"/>
      <c r="E6" s="28">
        <f>IF(C6="","",C6-$I$1)</f>
        <v/>
      </c>
      <c r="F6" s="29">
        <f>IF(C6="","",IF(E6&lt;0,"期限切れ",IF(E6&lt;=設定!$B$9,"まもなく","余裕あり")))</f>
        <v/>
      </c>
      <c r="G6" s="17" t="n"/>
      <c r="H6" s="5" t="n"/>
      <c r="I6" s="5" t="n"/>
    </row>
    <row r="7">
      <c r="A7" s="17" t="inlineStr">
        <is>
          <t>届出</t>
        </is>
      </c>
      <c r="B7" s="17" t="inlineStr">
        <is>
          <t>加算の届出（翌月から算定する場合の締切）</t>
        </is>
      </c>
      <c r="C7" s="27" t="n">
        <v>46310</v>
      </c>
      <c r="D7" s="17" t="n"/>
      <c r="E7" s="28">
        <f>IF(C7="","",C7-$I$1)</f>
        <v/>
      </c>
      <c r="F7" s="29">
        <f>IF(C7="","",IF(E7&lt;0,"期限切れ",IF(E7&lt;=設定!$B$9,"まもなく","余裕あり")))</f>
        <v/>
      </c>
      <c r="G7" s="17" t="n"/>
      <c r="H7" s="5" t="n"/>
      <c r="I7" s="5" t="n"/>
    </row>
    <row r="8">
      <c r="A8" s="17" t="inlineStr">
        <is>
          <t>運営指導</t>
        </is>
      </c>
      <c r="B8" s="17" t="inlineStr">
        <is>
          <t>運営指導（実地指導）の予定日</t>
        </is>
      </c>
      <c r="C8" s="27" t="n">
        <v>46346</v>
      </c>
      <c r="D8" s="17" t="n"/>
      <c r="E8" s="28">
        <f>IF(C8="","",C8-$I$1)</f>
        <v/>
      </c>
      <c r="F8" s="29">
        <f>IF(C8="","",IF(E8&lt;0,"期限切れ",IF(E8&lt;=設定!$B$9,"まもなく","余裕あり")))</f>
        <v/>
      </c>
      <c r="G8" s="17" t="n"/>
      <c r="H8" s="5" t="n"/>
      <c r="I8" s="5" t="n"/>
    </row>
    <row r="9">
      <c r="A9" s="17" t="inlineStr">
        <is>
          <t>労務</t>
        </is>
      </c>
      <c r="B9" s="17" t="inlineStr">
        <is>
          <t>36協定の届出・更新</t>
        </is>
      </c>
      <c r="C9" s="27" t="n">
        <v>46477</v>
      </c>
      <c r="D9" s="17" t="n"/>
      <c r="E9" s="28">
        <f>IF(C9="","",C9-$I$1)</f>
        <v/>
      </c>
      <c r="F9" s="29">
        <f>IF(C9="","",IF(E9&lt;0,"期限切れ",IF(E9&lt;=設定!$B$9,"まもなく","余裕あり")))</f>
        <v/>
      </c>
      <c r="G9" s="17" t="n"/>
      <c r="H9" s="5" t="n"/>
      <c r="I9" s="5" t="n"/>
    </row>
    <row r="10">
      <c r="A10" s="17" t="n"/>
      <c r="B10" s="17" t="n"/>
      <c r="C10" s="27" t="n"/>
      <c r="D10" s="17" t="n"/>
      <c r="E10" s="28">
        <f>IF(C10="","",C10-$I$1)</f>
        <v/>
      </c>
      <c r="F10" s="29">
        <f>IF(C10="","",IF(E10&lt;0,"期限切れ",IF(E10&lt;=設定!$B$9,"まもなく","余裕あり")))</f>
        <v/>
      </c>
      <c r="G10" s="17" t="n"/>
      <c r="H10" s="5" t="n"/>
      <c r="I10" s="5" t="n"/>
    </row>
    <row r="11">
      <c r="A11" s="17" t="n"/>
      <c r="B11" s="17" t="n"/>
      <c r="C11" s="27" t="n"/>
      <c r="D11" s="17" t="n"/>
      <c r="E11" s="28">
        <f>IF(C11="","",C11-$I$1)</f>
        <v/>
      </c>
      <c r="F11" s="29">
        <f>IF(C11="","",IF(E11&lt;0,"期限切れ",IF(E11&lt;=設定!$B$9,"まもなく","余裕あり")))</f>
        <v/>
      </c>
      <c r="G11" s="17" t="n"/>
      <c r="H11" s="5" t="n"/>
      <c r="I11" s="5" t="n"/>
    </row>
    <row r="12">
      <c r="A12" s="17" t="n"/>
      <c r="B12" s="17" t="n"/>
      <c r="C12" s="27" t="n"/>
      <c r="D12" s="17" t="n"/>
      <c r="E12" s="28">
        <f>IF(C12="","",C12-$I$1)</f>
        <v/>
      </c>
      <c r="F12" s="29">
        <f>IF(C12="","",IF(E12&lt;0,"期限切れ",IF(E12&lt;=設定!$B$9,"まもなく","余裕あり")))</f>
        <v/>
      </c>
      <c r="G12" s="17" t="n"/>
      <c r="H12" s="5" t="n"/>
      <c r="I12" s="5" t="n"/>
    </row>
    <row r="13">
      <c r="A13" s="17" t="n"/>
      <c r="B13" s="17" t="n"/>
      <c r="C13" s="27" t="n"/>
      <c r="D13" s="17" t="n"/>
      <c r="E13" s="28">
        <f>IF(C13="","",C13-$I$1)</f>
        <v/>
      </c>
      <c r="F13" s="29">
        <f>IF(C13="","",IF(E13&lt;0,"期限切れ",IF(E13&lt;=設定!$B$9,"まもなく","余裕あり")))</f>
        <v/>
      </c>
      <c r="G13" s="17" t="n"/>
      <c r="H13" s="5" t="n"/>
      <c r="I13" s="5" t="n"/>
    </row>
    <row r="14">
      <c r="A14" s="17" t="n"/>
      <c r="B14" s="17" t="n"/>
      <c r="C14" s="27" t="n"/>
      <c r="D14" s="17" t="n"/>
      <c r="E14" s="28">
        <f>IF(C14="","",C14-$I$1)</f>
        <v/>
      </c>
      <c r="F14" s="29">
        <f>IF(C14="","",IF(E14&lt;0,"期限切れ",IF(E14&lt;=設定!$B$9,"まもなく","余裕あり")))</f>
        <v/>
      </c>
      <c r="G14" s="17" t="n"/>
      <c r="H14" s="5" t="n"/>
      <c r="I14" s="5" t="n"/>
    </row>
    <row r="15">
      <c r="A15" s="17" t="n"/>
      <c r="B15" s="17" t="n"/>
      <c r="C15" s="27" t="n"/>
      <c r="D15" s="17" t="n"/>
      <c r="E15" s="28">
        <f>IF(C15="","",C15-$I$1)</f>
        <v/>
      </c>
      <c r="F15" s="29">
        <f>IF(C15="","",IF(E15&lt;0,"期限切れ",IF(E15&lt;=設定!$B$9,"まもなく","余裕あり")))</f>
        <v/>
      </c>
      <c r="G15" s="17" t="n"/>
      <c r="H15" s="5" t="n"/>
      <c r="I15" s="5" t="n"/>
    </row>
    <row r="16">
      <c r="A16" s="17" t="n"/>
      <c r="B16" s="17" t="n"/>
      <c r="C16" s="27" t="n"/>
      <c r="D16" s="17" t="n"/>
      <c r="E16" s="28">
        <f>IF(C16="","",C16-$I$1)</f>
        <v/>
      </c>
      <c r="F16" s="29">
        <f>IF(C16="","",IF(E16&lt;0,"期限切れ",IF(E16&lt;=設定!$B$9,"まもなく","余裕あり")))</f>
        <v/>
      </c>
      <c r="G16" s="17" t="n"/>
      <c r="H16" s="5" t="n"/>
      <c r="I16" s="5" t="n"/>
    </row>
    <row r="17">
      <c r="A17" s="17" t="n"/>
      <c r="B17" s="17" t="n"/>
      <c r="C17" s="27" t="n"/>
      <c r="D17" s="17" t="n"/>
      <c r="E17" s="28">
        <f>IF(C17="","",C17-$I$1)</f>
        <v/>
      </c>
      <c r="F17" s="29">
        <f>IF(C17="","",IF(E17&lt;0,"期限切れ",IF(E17&lt;=設定!$B$9,"まもなく","余裕あり")))</f>
        <v/>
      </c>
      <c r="G17" s="17" t="n"/>
      <c r="H17" s="5" t="n"/>
      <c r="I17" s="5" t="n"/>
    </row>
    <row r="18">
      <c r="A18" s="17" t="n"/>
      <c r="B18" s="17" t="n"/>
      <c r="C18" s="27" t="n"/>
      <c r="D18" s="17" t="n"/>
      <c r="E18" s="28">
        <f>IF(C18="","",C18-$I$1)</f>
        <v/>
      </c>
      <c r="F18" s="29">
        <f>IF(C18="","",IF(E18&lt;0,"期限切れ",IF(E18&lt;=設定!$B$9,"まもなく","余裕あり")))</f>
        <v/>
      </c>
      <c r="G18" s="17" t="n"/>
      <c r="H18" s="5" t="n"/>
      <c r="I18" s="5" t="n"/>
    </row>
    <row r="19">
      <c r="A19" s="17" t="n"/>
      <c r="B19" s="17" t="n"/>
      <c r="C19" s="27" t="n"/>
      <c r="D19" s="17" t="n"/>
      <c r="E19" s="28">
        <f>IF(C19="","",C19-$I$1)</f>
        <v/>
      </c>
      <c r="F19" s="29">
        <f>IF(C19="","",IF(E19&lt;0,"期限切れ",IF(E19&lt;=設定!$B$9,"まもなく","余裕あり")))</f>
        <v/>
      </c>
      <c r="G19" s="17" t="n"/>
      <c r="H19" s="5" t="n"/>
      <c r="I19" s="5" t="n"/>
    </row>
    <row r="20">
      <c r="A20" s="17" t="n"/>
      <c r="B20" s="17" t="n"/>
      <c r="C20" s="27" t="n"/>
      <c r="D20" s="17" t="n"/>
      <c r="E20" s="28">
        <f>IF(C20="","",C20-$I$1)</f>
        <v/>
      </c>
      <c r="F20" s="29">
        <f>IF(C20="","",IF(E20&lt;0,"期限切れ",IF(E20&lt;=設定!$B$9,"まもなく","余裕あり")))</f>
        <v/>
      </c>
      <c r="G20" s="17" t="n"/>
      <c r="H20" s="5" t="n"/>
      <c r="I20" s="5" t="n"/>
    </row>
    <row r="21">
      <c r="A21" s="17" t="n"/>
      <c r="B21" s="17" t="n"/>
      <c r="C21" s="27" t="n"/>
      <c r="D21" s="17" t="n"/>
      <c r="E21" s="28">
        <f>IF(C21="","",C21-$I$1)</f>
        <v/>
      </c>
      <c r="F21" s="29">
        <f>IF(C21="","",IF(E21&lt;0,"期限切れ",IF(E21&lt;=設定!$B$9,"まもなく","余裕あり")))</f>
        <v/>
      </c>
      <c r="G21" s="17" t="n"/>
      <c r="H21" s="5" t="n"/>
      <c r="I21" s="5" t="n"/>
    </row>
    <row r="22">
      <c r="A22" s="17" t="n"/>
      <c r="B22" s="17" t="n"/>
      <c r="C22" s="27" t="n"/>
      <c r="D22" s="17" t="n"/>
      <c r="E22" s="28">
        <f>IF(C22="","",C22-$I$1)</f>
        <v/>
      </c>
      <c r="F22" s="29">
        <f>IF(C22="","",IF(E22&lt;0,"期限切れ",IF(E22&lt;=設定!$B$9,"まもなく","余裕あり")))</f>
        <v/>
      </c>
      <c r="G22" s="17" t="n"/>
      <c r="H22" s="5" t="n"/>
      <c r="I22" s="5" t="n"/>
    </row>
    <row r="23">
      <c r="A23" s="17" t="n"/>
      <c r="B23" s="17" t="n"/>
      <c r="C23" s="27" t="n"/>
      <c r="D23" s="17" t="n"/>
      <c r="E23" s="28">
        <f>IF(C23="","",C23-$I$1)</f>
        <v/>
      </c>
      <c r="F23" s="29">
        <f>IF(C23="","",IF(E23&lt;0,"期限切れ",IF(E23&lt;=設定!$B$9,"まもなく","余裕あり")))</f>
        <v/>
      </c>
      <c r="G23" s="17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8" t="inlineStr">
        <is>
          <t>※ 見本の行が入っています。自分の事業所の期限に書き換えてください。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</sheetData>
  <conditionalFormatting sqref="F4:F23">
    <cfRule type="expression" priority="1" dxfId="0">
      <formula>OR(F4="期限切れ",F4="まもなく")</formula>
    </cfRule>
  </conditionalFormatting>
  <dataValidations count="1">
    <dataValidation sqref="A4:A23" showDropDown="0" showInputMessage="0" showErrorMessage="0" allowBlank="0" type="list">
      <formula1>"指定,人員,研修,届出,運営指導,労務,その他"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2026-09-30T02:01:46Z</dcterms:created>
  <dcterms:modified xsi:type="dcterms:W3CDTF">2026-09-30T02:01:46Z</dcterms:modified>
</cp:coreProperties>
</file>